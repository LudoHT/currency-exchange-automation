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lrich\Desktop\"/>
    </mc:Choice>
  </mc:AlternateContent>
  <xr:revisionPtr revIDLastSave="0" documentId="13_ncr:1_{FAEDB2A0-DAF1-4C3B-87EA-C025C4D579F9}" xr6:coauthVersionLast="47" xr6:coauthVersionMax="47" xr10:uidLastSave="{00000000-0000-0000-0000-000000000000}"/>
  <bookViews>
    <workbookView xWindow="28680" yWindow="-120" windowWidth="29040" windowHeight="15720" tabRatio="474" xr2:uid="{00000000-000D-0000-FFFF-FFFF00000000}"/>
  </bookViews>
  <sheets>
    <sheet name="March 2026" sheetId="49" r:id="rId1"/>
    <sheet name="Summary" sheetId="1" r:id="rId2"/>
    <sheet name="Sher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E2" i="3" s="1"/>
  <c r="G23" i="1"/>
  <c r="G24" i="1"/>
  <c r="G25" i="1"/>
  <c r="G26" i="1"/>
  <c r="G27" i="1"/>
  <c r="G28" i="1"/>
  <c r="G29" i="1"/>
  <c r="G30" i="1"/>
  <c r="G31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G2" i="3"/>
  <c r="D2" i="3"/>
  <c r="I42" i="49" l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I55" i="49" l="1"/>
  <c r="I54" i="49"/>
  <c r="I53" i="49"/>
  <c r="I52" i="49"/>
  <c r="I51" i="49"/>
  <c r="I50" i="49"/>
  <c r="I49" i="49"/>
  <c r="I48" i="49"/>
  <c r="I47" i="49"/>
  <c r="I46" i="49"/>
  <c r="I45" i="49"/>
  <c r="I44" i="49"/>
  <c r="I43" i="49"/>
  <c r="I41" i="49"/>
  <c r="I2" i="3" l="1"/>
  <c r="H17" i="1" l="1"/>
  <c r="H2" i="3" l="1"/>
  <c r="H16" i="1" l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7" i="1" l="1"/>
  <c r="H26" i="1" l="1"/>
  <c r="H2" i="1" l="1"/>
  <c r="H18" i="1" l="1"/>
  <c r="H19" i="1"/>
  <c r="H20" i="1"/>
  <c r="H21" i="1"/>
  <c r="H22" i="1"/>
  <c r="H23" i="1"/>
  <c r="H24" i="1"/>
  <c r="H25" i="1"/>
  <c r="H28" i="1"/>
  <c r="H29" i="1"/>
  <c r="H30" i="1"/>
  <c r="H31" i="1"/>
  <c r="L2" i="3" l="1"/>
  <c r="K2" i="3"/>
  <c r="J2" i="3"/>
  <c r="F2" i="3"/>
  <c r="C2" i="3"/>
  <c r="B2" i="3"/>
  <c r="D7" i="3" s="1"/>
  <c r="A2" i="3" l="1"/>
  <c r="D9" i="3" l="1"/>
  <c r="D8" i="3"/>
</calcChain>
</file>

<file path=xl/sharedStrings.xml><?xml version="1.0" encoding="utf-8"?>
<sst xmlns="http://schemas.openxmlformats.org/spreadsheetml/2006/main" count="201" uniqueCount="48">
  <si>
    <t>Valid From</t>
  </si>
  <si>
    <t>Exchange Rate</t>
  </si>
  <si>
    <t>AUD</t>
  </si>
  <si>
    <t>USD</t>
  </si>
  <si>
    <t>USD/AUD</t>
  </si>
  <si>
    <t>CAD</t>
  </si>
  <si>
    <t>USD/CAD</t>
  </si>
  <si>
    <t>CHF</t>
  </si>
  <si>
    <t>USD/CHF</t>
  </si>
  <si>
    <t>EUR</t>
  </si>
  <si>
    <t>USD/EUR</t>
  </si>
  <si>
    <t>GBP</t>
  </si>
  <si>
    <t>USD/GBP</t>
  </si>
  <si>
    <t>JPY</t>
  </si>
  <si>
    <t>USD/JPY</t>
  </si>
  <si>
    <t>NZD</t>
  </si>
  <si>
    <t>USD/NZD</t>
  </si>
  <si>
    <t>SGD</t>
  </si>
  <si>
    <t>USD/SGD</t>
  </si>
  <si>
    <t>M</t>
  </si>
  <si>
    <t>DKK</t>
  </si>
  <si>
    <t>USD/DKK</t>
  </si>
  <si>
    <t>NOK</t>
  </si>
  <si>
    <t>SEK</t>
  </si>
  <si>
    <t>USD/SEK</t>
  </si>
  <si>
    <t>USD/NOK</t>
  </si>
  <si>
    <t>Spot</t>
  </si>
  <si>
    <t>Month_Yr</t>
  </si>
  <si>
    <r>
      <t>To calculate USD, take</t>
    </r>
    <r>
      <rPr>
        <b/>
        <sz val="11"/>
        <color theme="1"/>
        <rFont val="Calibri"/>
        <family val="2"/>
        <scheme val="minor"/>
      </rPr>
      <t xml:space="preserve"> Foreign dollar X the exchange rate</t>
    </r>
  </si>
  <si>
    <r>
      <rPr>
        <u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This exchage rate is converting 1 foreign dollar to USD. </t>
    </r>
  </si>
  <si>
    <t>Currency</t>
  </si>
  <si>
    <t>Foreign Amt</t>
  </si>
  <si>
    <t>ZAR</t>
  </si>
  <si>
    <t>USD/ZAR</t>
  </si>
  <si>
    <t>HUF</t>
  </si>
  <si>
    <t>USD/HUF</t>
  </si>
  <si>
    <t>RUB</t>
  </si>
  <si>
    <t>USD/RUB</t>
  </si>
  <si>
    <t>Example:</t>
  </si>
  <si>
    <t>AED</t>
  </si>
  <si>
    <t>USD/AED</t>
  </si>
  <si>
    <t>Period Average</t>
  </si>
  <si>
    <t>HKD</t>
  </si>
  <si>
    <t>INR</t>
  </si>
  <si>
    <t>KRW</t>
  </si>
  <si>
    <t>MYR</t>
  </si>
  <si>
    <t>Spot Rate/Date</t>
  </si>
  <si>
    <t>SalesForce Update (use the last day of the previous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</si>
</sst>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5" fillId="3" borderId="1" xfId="2" applyFont="1" applyFill="1" applyBorder="1" applyAlignment="1">
      <alignment horizontal="center"/>
    </xf>
    <xf numFmtId="14" fontId="5" fillId="0" borderId="2" xfId="2" applyNumberFormat="1" applyFont="1" applyBorder="1" applyAlignment="1">
      <alignment horizontal="right" wrapText="1"/>
    </xf>
    <xf numFmtId="43" fontId="0" fillId="0" borderId="0" xfId="1" applyFont="1"/>
    <xf numFmtId="43" fontId="0" fillId="0" borderId="0" xfId="0" applyNumberFormat="1"/>
    <xf numFmtId="0" fontId="7" fillId="2" borderId="0" xfId="0" applyFont="1" applyFill="1"/>
    <xf numFmtId="0" fontId="6" fillId="0" borderId="0" xfId="0" applyFont="1"/>
    <xf numFmtId="20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20" fontId="2" fillId="0" borderId="0" xfId="0" applyNumberFormat="1" applyFont="1"/>
    <xf numFmtId="14" fontId="2" fillId="0" borderId="0" xfId="0" applyNumberFormat="1" applyFont="1"/>
    <xf numFmtId="0" fontId="7" fillId="2" borderId="0" xfId="0" applyFont="1" applyFill="1" applyAlignment="1">
      <alignment horizontal="center"/>
    </xf>
    <xf numFmtId="20" fontId="7" fillId="2" borderId="0" xfId="0" applyNumberFormat="1" applyFont="1" applyFill="1"/>
    <xf numFmtId="0" fontId="2" fillId="2" borderId="0" xfId="0" applyFont="1" applyFill="1" applyAlignment="1">
      <alignment horizontal="center"/>
    </xf>
    <xf numFmtId="20" fontId="2" fillId="2" borderId="0" xfId="0" applyNumberFormat="1" applyFont="1" applyFill="1"/>
    <xf numFmtId="164" fontId="0" fillId="0" borderId="0" xfId="0" applyNumberFormat="1"/>
    <xf numFmtId="164" fontId="2" fillId="0" borderId="0" xfId="0" applyNumberFormat="1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FFFF99"/>
      <color rgb="FFFF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27</xdr:col>
      <xdr:colOff>50167</xdr:colOff>
      <xdr:row>17</xdr:row>
      <xdr:rowOff>38557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1C1E2-F7D8-9674-D208-30A6EDC53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18214342" cy="3277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38100</xdr:rowOff>
    </xdr:from>
    <xdr:to>
      <xdr:col>26</xdr:col>
      <xdr:colOff>526404</xdr:colOff>
      <xdr:row>35</xdr:row>
      <xdr:rowOff>181420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12D00A-C88C-6D1A-7EF9-AB68E359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7600"/>
          <a:ext cx="18119079" cy="319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7190-EB37-4220-AC69-AA5369C65B29}">
  <dimension ref="A1:O59"/>
  <sheetViews>
    <sheetView tabSelected="1" topLeftCell="A25" zoomScaleNormal="100" workbookViewId="0">
      <selection activeCell="F41" sqref="F41:F59"/>
    </sheetView>
  </sheetViews>
  <sheetFormatPr defaultColWidth="9.140625" defaultRowHeight="15" x14ac:dyDescent="0.25"/>
  <cols>
    <col min="4" max="4" width="14.7109375" bestFit="1" customWidth="1"/>
    <col min="5" max="5" width="9.42578125" bestFit="1" customWidth="1"/>
    <col min="6" max="6" width="15.7109375" bestFit="1" customWidth="1"/>
    <col min="8" max="8" width="11.5703125" bestFit="1" customWidth="1"/>
    <col min="9" max="9" width="17.5703125" bestFit="1" customWidth="1"/>
    <col min="10" max="10" width="12" bestFit="1" customWidth="1"/>
  </cols>
  <sheetData>
    <row r="1" spans="1:2" x14ac:dyDescent="0.25">
      <c r="A1" s="21"/>
      <c r="B1" s="21"/>
    </row>
    <row r="2" spans="1:2" x14ac:dyDescent="0.25">
      <c r="A2" s="21"/>
      <c r="B2" s="21"/>
    </row>
    <row r="3" spans="1:2" x14ac:dyDescent="0.25">
      <c r="A3" s="21"/>
      <c r="B3" s="21"/>
    </row>
    <row r="4" spans="1:2" x14ac:dyDescent="0.25">
      <c r="A4" s="21"/>
      <c r="B4" s="21"/>
    </row>
    <row r="5" spans="1:2" x14ac:dyDescent="0.25">
      <c r="A5" s="21"/>
      <c r="B5" s="21"/>
    </row>
    <row r="6" spans="1:2" x14ac:dyDescent="0.25">
      <c r="A6" s="21"/>
      <c r="B6" s="21"/>
    </row>
    <row r="7" spans="1:2" x14ac:dyDescent="0.25">
      <c r="A7" s="21"/>
      <c r="B7" s="21"/>
    </row>
    <row r="8" spans="1:2" x14ac:dyDescent="0.25">
      <c r="A8" s="21"/>
      <c r="B8" s="21"/>
    </row>
    <row r="9" spans="1:2" x14ac:dyDescent="0.25">
      <c r="A9" s="21"/>
      <c r="B9" s="21"/>
    </row>
    <row r="10" spans="1:2" x14ac:dyDescent="0.25">
      <c r="A10" s="21"/>
      <c r="B10" s="21"/>
    </row>
    <row r="11" spans="1:2" x14ac:dyDescent="0.25">
      <c r="A11" s="21"/>
      <c r="B11" s="21"/>
    </row>
    <row r="12" spans="1:2" x14ac:dyDescent="0.25">
      <c r="A12" s="21"/>
      <c r="B12" s="21"/>
    </row>
    <row r="13" spans="1:2" x14ac:dyDescent="0.25">
      <c r="A13" s="21"/>
      <c r="B13" s="21"/>
    </row>
    <row r="14" spans="1:2" x14ac:dyDescent="0.25">
      <c r="A14" s="21"/>
      <c r="B14" s="21"/>
    </row>
    <row r="15" spans="1:2" x14ac:dyDescent="0.25">
      <c r="A15" s="21"/>
      <c r="B15" s="21"/>
    </row>
    <row r="16" spans="1:2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15" x14ac:dyDescent="0.25">
      <c r="A33" s="21"/>
      <c r="B33" s="21"/>
    </row>
    <row r="34" spans="1:15" x14ac:dyDescent="0.25">
      <c r="A34" s="21"/>
      <c r="B34" s="21"/>
    </row>
    <row r="35" spans="1:15" x14ac:dyDescent="0.25">
      <c r="A35" s="21"/>
      <c r="B35" s="21"/>
    </row>
    <row r="36" spans="1:15" x14ac:dyDescent="0.25">
      <c r="A36" s="21"/>
      <c r="B36" s="21"/>
    </row>
    <row r="40" spans="1:15" x14ac:dyDescent="0.25">
      <c r="C40" t="s">
        <v>41</v>
      </c>
      <c r="E40" t="s">
        <v>46</v>
      </c>
      <c r="G40" s="25"/>
      <c r="H40" s="26"/>
      <c r="I40" s="23" t="s">
        <v>47</v>
      </c>
      <c r="J40" s="24"/>
      <c r="K40" s="25"/>
    </row>
    <row r="41" spans="1:15" x14ac:dyDescent="0.25">
      <c r="C41" t="s">
        <v>39</v>
      </c>
      <c r="D41" s="21">
        <v>3.6725099999999999</v>
      </c>
      <c r="E41" t="s">
        <v>39</v>
      </c>
      <c r="F41" s="21">
        <v>3.6724299999999999</v>
      </c>
      <c r="H41" s="5" t="s">
        <v>2</v>
      </c>
      <c r="I41" s="21">
        <f t="shared" ref="I41:I55" si="0">VLOOKUP(H41,$E$41:$F$59,2,FALSE)</f>
        <v>1.45513</v>
      </c>
      <c r="N41" s="5"/>
      <c r="O41" s="21"/>
    </row>
    <row r="42" spans="1:15" x14ac:dyDescent="0.25">
      <c r="C42" t="s">
        <v>2</v>
      </c>
      <c r="D42" s="21">
        <v>1.4260200000000001</v>
      </c>
      <c r="E42" t="s">
        <v>2</v>
      </c>
      <c r="F42" s="21">
        <v>1.45513</v>
      </c>
      <c r="H42" s="5" t="s">
        <v>5</v>
      </c>
      <c r="I42" s="21">
        <f>VLOOKUP(H42,$E$41:$F$59,2,FALSE)</f>
        <v>1.39306</v>
      </c>
      <c r="N42" s="5"/>
      <c r="O42" s="21"/>
    </row>
    <row r="43" spans="1:15" x14ac:dyDescent="0.25">
      <c r="C43" t="s">
        <v>5</v>
      </c>
      <c r="D43" s="21">
        <v>1.3712500000000001</v>
      </c>
      <c r="E43" t="s">
        <v>5</v>
      </c>
      <c r="F43" s="21">
        <v>1.39306</v>
      </c>
      <c r="H43" s="5" t="s">
        <v>7</v>
      </c>
      <c r="I43" s="21">
        <f t="shared" si="0"/>
        <v>0.79972100000000002</v>
      </c>
      <c r="N43" s="5"/>
      <c r="O43" s="21"/>
    </row>
    <row r="44" spans="1:15" x14ac:dyDescent="0.25">
      <c r="C44" t="s">
        <v>7</v>
      </c>
      <c r="D44" s="21">
        <v>0.78641099999999997</v>
      </c>
      <c r="E44" t="s">
        <v>7</v>
      </c>
      <c r="F44" s="21">
        <v>0.79972100000000002</v>
      </c>
      <c r="H44" s="5" t="s">
        <v>20</v>
      </c>
      <c r="I44" s="21">
        <f t="shared" si="0"/>
        <v>6.49343</v>
      </c>
      <c r="N44" s="5"/>
      <c r="O44" s="21"/>
    </row>
    <row r="45" spans="1:15" x14ac:dyDescent="0.25">
      <c r="C45" t="s">
        <v>20</v>
      </c>
      <c r="D45" s="21">
        <v>6.4623200000000001</v>
      </c>
      <c r="E45" t="s">
        <v>20</v>
      </c>
      <c r="F45" s="21">
        <v>6.49343</v>
      </c>
      <c r="H45" s="5" t="s">
        <v>9</v>
      </c>
      <c r="I45" s="21">
        <f t="shared" si="0"/>
        <v>0.86916300000000002</v>
      </c>
      <c r="N45" s="5"/>
      <c r="O45" s="21"/>
    </row>
    <row r="46" spans="1:15" x14ac:dyDescent="0.25">
      <c r="C46" t="s">
        <v>9</v>
      </c>
      <c r="D46" s="21">
        <v>0.86493399999999998</v>
      </c>
      <c r="E46" t="s">
        <v>9</v>
      </c>
      <c r="F46" s="21">
        <v>0.86916300000000002</v>
      </c>
      <c r="H46" s="5" t="s">
        <v>11</v>
      </c>
      <c r="I46" s="21">
        <f t="shared" si="0"/>
        <v>0.75654999999999994</v>
      </c>
      <c r="N46" s="5"/>
      <c r="O46" s="21"/>
    </row>
    <row r="47" spans="1:15" x14ac:dyDescent="0.25">
      <c r="C47" t="s">
        <v>11</v>
      </c>
      <c r="D47" s="21">
        <v>0.74957200000000002</v>
      </c>
      <c r="E47" t="s">
        <v>11</v>
      </c>
      <c r="F47" s="21">
        <v>0.75654999999999994</v>
      </c>
      <c r="H47" s="5" t="s">
        <v>42</v>
      </c>
      <c r="I47" s="21">
        <f t="shared" si="0"/>
        <v>7.8387099999999998</v>
      </c>
      <c r="N47" s="5"/>
      <c r="O47" s="21"/>
    </row>
    <row r="48" spans="1:15" x14ac:dyDescent="0.25">
      <c r="C48" t="s">
        <v>34</v>
      </c>
      <c r="D48" s="21">
        <v>336.34800000000001</v>
      </c>
      <c r="E48" t="s">
        <v>34</v>
      </c>
      <c r="F48" s="21">
        <v>334.96800000000002</v>
      </c>
      <c r="H48" s="5" t="s">
        <v>43</v>
      </c>
      <c r="I48" s="21">
        <f t="shared" si="0"/>
        <v>93.853899999999996</v>
      </c>
      <c r="N48" s="5"/>
      <c r="O48" s="21"/>
    </row>
    <row r="49" spans="3:15" x14ac:dyDescent="0.25">
      <c r="C49" t="s">
        <v>13</v>
      </c>
      <c r="D49" s="21">
        <v>158.721</v>
      </c>
      <c r="E49" t="s">
        <v>13</v>
      </c>
      <c r="F49" s="21">
        <v>159.304</v>
      </c>
      <c r="H49" s="5" t="s">
        <v>13</v>
      </c>
      <c r="I49" s="21">
        <f t="shared" si="0"/>
        <v>159.304</v>
      </c>
      <c r="N49" s="5"/>
      <c r="O49" s="21"/>
    </row>
    <row r="50" spans="3:15" x14ac:dyDescent="0.25">
      <c r="C50" t="s">
        <v>22</v>
      </c>
      <c r="D50" s="21">
        <v>9.6497899999999994</v>
      </c>
      <c r="E50" t="s">
        <v>22</v>
      </c>
      <c r="F50" s="21">
        <v>9.7351700000000001</v>
      </c>
      <c r="H50" s="5" t="s">
        <v>44</v>
      </c>
      <c r="I50" s="21">
        <f t="shared" si="0"/>
        <v>1521.2</v>
      </c>
      <c r="N50" s="5"/>
      <c r="O50" s="21"/>
    </row>
    <row r="51" spans="3:15" x14ac:dyDescent="0.25">
      <c r="C51" t="s">
        <v>15</v>
      </c>
      <c r="D51" s="21">
        <v>1.7105600000000001</v>
      </c>
      <c r="E51" t="s">
        <v>15</v>
      </c>
      <c r="F51" s="21">
        <v>1.7466699999999999</v>
      </c>
      <c r="H51" s="5" t="s">
        <v>45</v>
      </c>
      <c r="I51" s="21">
        <f t="shared" si="0"/>
        <v>4.0411999999999999</v>
      </c>
      <c r="N51" s="5"/>
      <c r="O51" s="21"/>
    </row>
    <row r="52" spans="3:15" x14ac:dyDescent="0.25">
      <c r="C52" t="s">
        <v>36</v>
      </c>
      <c r="D52" s="21">
        <v>80.479399999999998</v>
      </c>
      <c r="E52" t="s">
        <v>36</v>
      </c>
      <c r="F52" s="21">
        <v>81.312200000000004</v>
      </c>
      <c r="H52" s="5" t="s">
        <v>22</v>
      </c>
      <c r="I52" s="21">
        <f t="shared" si="0"/>
        <v>9.7351700000000001</v>
      </c>
      <c r="N52" s="5"/>
      <c r="O52" s="21"/>
    </row>
    <row r="53" spans="3:15" x14ac:dyDescent="0.25">
      <c r="C53" t="s">
        <v>23</v>
      </c>
      <c r="D53" s="21">
        <v>9.3130900000000008</v>
      </c>
      <c r="E53" t="s">
        <v>23</v>
      </c>
      <c r="F53" s="21">
        <v>9.5179200000000002</v>
      </c>
      <c r="H53" s="5" t="s">
        <v>15</v>
      </c>
      <c r="I53" s="21">
        <f t="shared" si="0"/>
        <v>1.7466699999999999</v>
      </c>
      <c r="N53" s="5"/>
      <c r="O53" s="21"/>
    </row>
    <row r="54" spans="3:15" x14ac:dyDescent="0.25">
      <c r="C54" t="s">
        <v>17</v>
      </c>
      <c r="D54" s="21">
        <v>1.2796099999999999</v>
      </c>
      <c r="E54" t="s">
        <v>17</v>
      </c>
      <c r="F54" s="21">
        <v>1.28884</v>
      </c>
      <c r="H54" s="5" t="s">
        <v>23</v>
      </c>
      <c r="I54" s="21">
        <f t="shared" si="0"/>
        <v>9.5179200000000002</v>
      </c>
      <c r="N54" s="5"/>
      <c r="O54" s="21"/>
    </row>
    <row r="55" spans="3:15" x14ac:dyDescent="0.25">
      <c r="C55" t="s">
        <v>32</v>
      </c>
      <c r="D55" s="21">
        <v>16.742000000000001</v>
      </c>
      <c r="E55" t="s">
        <v>32</v>
      </c>
      <c r="F55" s="21">
        <v>17.05</v>
      </c>
      <c r="H55" s="5" t="s">
        <v>17</v>
      </c>
      <c r="I55" s="21">
        <f t="shared" si="0"/>
        <v>1.28884</v>
      </c>
      <c r="N55" s="5"/>
      <c r="O55" s="21"/>
    </row>
    <row r="56" spans="3:15" x14ac:dyDescent="0.25">
      <c r="D56" s="21"/>
      <c r="E56" t="s">
        <v>43</v>
      </c>
      <c r="F56" s="21">
        <v>93.853899999999996</v>
      </c>
      <c r="H56" s="5"/>
      <c r="I56" s="21"/>
      <c r="N56" s="5"/>
      <c r="O56" s="21"/>
    </row>
    <row r="57" spans="3:15" x14ac:dyDescent="0.25">
      <c r="D57" s="21"/>
      <c r="E57" t="s">
        <v>44</v>
      </c>
      <c r="F57" s="21">
        <v>1521.2</v>
      </c>
      <c r="N57" s="5"/>
      <c r="O57" s="21"/>
    </row>
    <row r="58" spans="3:15" x14ac:dyDescent="0.25">
      <c r="D58" s="22"/>
      <c r="E58" t="s">
        <v>45</v>
      </c>
      <c r="F58" s="21">
        <v>4.0411999999999999</v>
      </c>
      <c r="N58" s="5"/>
      <c r="O58" s="21"/>
    </row>
    <row r="59" spans="3:15" x14ac:dyDescent="0.25">
      <c r="D59" s="22"/>
      <c r="E59" t="s">
        <v>42</v>
      </c>
      <c r="F59" s="21">
        <v>7.8387099999999998</v>
      </c>
      <c r="N59" s="5"/>
      <c r="O59" s="2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selection activeCell="G2" sqref="G2:G12"/>
    </sheetView>
  </sheetViews>
  <sheetFormatPr defaultRowHeight="15" x14ac:dyDescent="0.25"/>
  <cols>
    <col min="1" max="1" width="5" style="1" bestFit="1" customWidth="1"/>
    <col min="2" max="2" width="4.7109375" bestFit="1" customWidth="1"/>
    <col min="3" max="3" width="4.42578125" bestFit="1" customWidth="1"/>
    <col min="5" max="5" width="0.5703125" customWidth="1"/>
    <col min="6" max="6" width="10.5703125" bestFit="1" customWidth="1"/>
    <col min="7" max="7" width="10.5703125" customWidth="1"/>
    <col min="9" max="9" width="14.7109375" bestFit="1" customWidth="1"/>
    <col min="13" max="13" width="9" bestFit="1" customWidth="1"/>
  </cols>
  <sheetData>
    <row r="1" spans="1:12" x14ac:dyDescent="0.25">
      <c r="F1" t="s">
        <v>0</v>
      </c>
      <c r="G1" t="s">
        <v>1</v>
      </c>
    </row>
    <row r="2" spans="1:12" x14ac:dyDescent="0.25">
      <c r="A2" s="1">
        <v>1002</v>
      </c>
      <c r="B2" t="s">
        <v>39</v>
      </c>
      <c r="C2" t="s">
        <v>3</v>
      </c>
      <c r="D2" t="s">
        <v>40</v>
      </c>
      <c r="E2" s="12">
        <v>4.2361111111111106E-2</v>
      </c>
      <c r="F2" s="13">
        <v>46112</v>
      </c>
      <c r="G2" s="21">
        <f>'March 2026'!D41</f>
        <v>3.6725099999999999</v>
      </c>
      <c r="H2">
        <f t="shared" ref="H2:H16" si="0">ROUND(G2,4)</f>
        <v>3.6724999999999999</v>
      </c>
      <c r="I2" s="28" t="s">
        <v>41</v>
      </c>
    </row>
    <row r="3" spans="1:12" x14ac:dyDescent="0.25">
      <c r="A3" s="1">
        <v>1002</v>
      </c>
      <c r="B3" t="s">
        <v>2</v>
      </c>
      <c r="C3" t="s">
        <v>3</v>
      </c>
      <c r="D3" t="s">
        <v>4</v>
      </c>
      <c r="E3" s="12">
        <v>4.2361111111111106E-2</v>
      </c>
      <c r="F3" s="13">
        <f>F2</f>
        <v>46112</v>
      </c>
      <c r="G3" s="21">
        <f>'March 2026'!D42</f>
        <v>1.4260200000000001</v>
      </c>
      <c r="H3">
        <f t="shared" si="0"/>
        <v>1.4259999999999999</v>
      </c>
      <c r="I3" s="28"/>
    </row>
    <row r="4" spans="1:12" x14ac:dyDescent="0.25">
      <c r="A4" s="1">
        <v>1002</v>
      </c>
      <c r="B4" t="s">
        <v>5</v>
      </c>
      <c r="C4" t="s">
        <v>3</v>
      </c>
      <c r="D4" t="s">
        <v>6</v>
      </c>
      <c r="E4" s="12">
        <v>4.2361111111111106E-2</v>
      </c>
      <c r="F4" s="13">
        <f>F3</f>
        <v>46112</v>
      </c>
      <c r="G4" s="21">
        <f>'March 2026'!D43</f>
        <v>1.3712500000000001</v>
      </c>
      <c r="H4">
        <f t="shared" si="0"/>
        <v>1.3713</v>
      </c>
      <c r="I4" s="28"/>
      <c r="L4" s="21"/>
    </row>
    <row r="5" spans="1:12" x14ac:dyDescent="0.25">
      <c r="A5" s="1">
        <v>1002</v>
      </c>
      <c r="B5" t="s">
        <v>7</v>
      </c>
      <c r="C5" t="s">
        <v>3</v>
      </c>
      <c r="D5" t="s">
        <v>8</v>
      </c>
      <c r="E5" s="12">
        <v>4.2361111111111106E-2</v>
      </c>
      <c r="F5" s="13">
        <f t="shared" ref="F5:F31" si="1">F4</f>
        <v>46112</v>
      </c>
      <c r="G5" s="21">
        <f>'March 2026'!D44</f>
        <v>0.78641099999999997</v>
      </c>
      <c r="H5">
        <f t="shared" si="0"/>
        <v>0.78639999999999999</v>
      </c>
      <c r="I5" s="28"/>
    </row>
    <row r="6" spans="1:12" x14ac:dyDescent="0.25">
      <c r="A6" s="1">
        <v>1002</v>
      </c>
      <c r="B6" t="s">
        <v>20</v>
      </c>
      <c r="C6" t="s">
        <v>3</v>
      </c>
      <c r="D6" t="s">
        <v>21</v>
      </c>
      <c r="E6" s="12">
        <v>4.2361111111111106E-2</v>
      </c>
      <c r="F6" s="13">
        <f t="shared" si="1"/>
        <v>46112</v>
      </c>
      <c r="G6" s="21">
        <f>'March 2026'!D45</f>
        <v>6.4623200000000001</v>
      </c>
      <c r="H6">
        <f t="shared" si="0"/>
        <v>6.4622999999999999</v>
      </c>
      <c r="I6" s="28"/>
    </row>
    <row r="7" spans="1:12" x14ac:dyDescent="0.25">
      <c r="A7" s="1">
        <v>1002</v>
      </c>
      <c r="B7" t="s">
        <v>9</v>
      </c>
      <c r="C7" t="s">
        <v>3</v>
      </c>
      <c r="D7" t="s">
        <v>10</v>
      </c>
      <c r="E7" s="12">
        <v>4.2361111111111106E-2</v>
      </c>
      <c r="F7" s="13">
        <f t="shared" si="1"/>
        <v>46112</v>
      </c>
      <c r="G7" s="21">
        <f>'March 2026'!D46</f>
        <v>0.86493399999999998</v>
      </c>
      <c r="H7">
        <f t="shared" si="0"/>
        <v>0.8649</v>
      </c>
      <c r="I7" s="28"/>
      <c r="L7" s="21"/>
    </row>
    <row r="8" spans="1:12" x14ac:dyDescent="0.25">
      <c r="A8" s="1">
        <v>1002</v>
      </c>
      <c r="B8" t="s">
        <v>11</v>
      </c>
      <c r="C8" t="s">
        <v>3</v>
      </c>
      <c r="D8" t="s">
        <v>12</v>
      </c>
      <c r="E8" s="12">
        <v>4.2361111111111106E-2</v>
      </c>
      <c r="F8" s="13">
        <f t="shared" si="1"/>
        <v>46112</v>
      </c>
      <c r="G8" s="21">
        <f>'March 2026'!D47</f>
        <v>0.74957200000000002</v>
      </c>
      <c r="H8">
        <f t="shared" si="0"/>
        <v>0.74960000000000004</v>
      </c>
      <c r="I8" s="28"/>
    </row>
    <row r="9" spans="1:12" x14ac:dyDescent="0.25">
      <c r="A9" s="1">
        <v>1002</v>
      </c>
      <c r="B9" t="s">
        <v>34</v>
      </c>
      <c r="C9" t="s">
        <v>3</v>
      </c>
      <c r="D9" t="s">
        <v>35</v>
      </c>
      <c r="E9" s="12">
        <v>4.2361111111111106E-2</v>
      </c>
      <c r="F9" s="13">
        <f t="shared" si="1"/>
        <v>46112</v>
      </c>
      <c r="G9" s="21">
        <f>'March 2026'!D48</f>
        <v>336.34800000000001</v>
      </c>
      <c r="H9">
        <f t="shared" si="0"/>
        <v>336.34800000000001</v>
      </c>
      <c r="I9" s="28"/>
    </row>
    <row r="10" spans="1:12" x14ac:dyDescent="0.25">
      <c r="A10" s="1">
        <v>1002</v>
      </c>
      <c r="B10" t="s">
        <v>13</v>
      </c>
      <c r="C10" t="s">
        <v>3</v>
      </c>
      <c r="D10" t="s">
        <v>14</v>
      </c>
      <c r="E10" s="12">
        <v>4.2361111111111106E-2</v>
      </c>
      <c r="F10" s="13">
        <f t="shared" si="1"/>
        <v>46112</v>
      </c>
      <c r="G10" s="21">
        <f>'March 2026'!D49</f>
        <v>158.721</v>
      </c>
      <c r="H10">
        <f t="shared" si="0"/>
        <v>158.721</v>
      </c>
      <c r="I10" s="28"/>
    </row>
    <row r="11" spans="1:12" x14ac:dyDescent="0.25">
      <c r="A11" s="1">
        <v>1002</v>
      </c>
      <c r="B11" t="s">
        <v>22</v>
      </c>
      <c r="C11" t="s">
        <v>3</v>
      </c>
      <c r="D11" t="s">
        <v>25</v>
      </c>
      <c r="E11" s="12">
        <v>4.2361111111111106E-2</v>
      </c>
      <c r="F11" s="13">
        <f t="shared" si="1"/>
        <v>46112</v>
      </c>
      <c r="G11" s="21">
        <f>'March 2026'!D50</f>
        <v>9.6497899999999994</v>
      </c>
      <c r="H11">
        <f t="shared" si="0"/>
        <v>9.6498000000000008</v>
      </c>
      <c r="I11" s="28"/>
    </row>
    <row r="12" spans="1:12" x14ac:dyDescent="0.25">
      <c r="A12" s="14">
        <v>1002</v>
      </c>
      <c r="B12" s="3" t="s">
        <v>15</v>
      </c>
      <c r="C12" s="3" t="s">
        <v>3</v>
      </c>
      <c r="D12" s="3" t="s">
        <v>16</v>
      </c>
      <c r="E12" s="15">
        <v>4.2361111111111106E-2</v>
      </c>
      <c r="F12" s="16">
        <f t="shared" si="1"/>
        <v>46112</v>
      </c>
      <c r="G12" s="21">
        <f>'March 2026'!D51</f>
        <v>1.7105600000000001</v>
      </c>
      <c r="H12" s="3">
        <f t="shared" si="0"/>
        <v>1.7105999999999999</v>
      </c>
      <c r="I12" s="28"/>
    </row>
    <row r="13" spans="1:12" x14ac:dyDescent="0.25">
      <c r="A13" s="14">
        <v>1002</v>
      </c>
      <c r="B13" s="3" t="s">
        <v>36</v>
      </c>
      <c r="C13" s="3" t="s">
        <v>3</v>
      </c>
      <c r="D13" s="3" t="s">
        <v>37</v>
      </c>
      <c r="E13" s="15">
        <v>4.2361111111111106E-2</v>
      </c>
      <c r="F13" s="16">
        <f t="shared" si="1"/>
        <v>46112</v>
      </c>
      <c r="G13" s="21">
        <f>'March 2026'!D52</f>
        <v>80.479399999999998</v>
      </c>
      <c r="H13" s="3">
        <f t="shared" si="0"/>
        <v>80.479399999999998</v>
      </c>
      <c r="I13" s="28"/>
    </row>
    <row r="14" spans="1:12" x14ac:dyDescent="0.25">
      <c r="A14" s="14">
        <v>1002</v>
      </c>
      <c r="B14" s="3" t="s">
        <v>23</v>
      </c>
      <c r="C14" s="3" t="s">
        <v>3</v>
      </c>
      <c r="D14" s="3" t="s">
        <v>24</v>
      </c>
      <c r="E14" s="15">
        <v>4.2361111111111106E-2</v>
      </c>
      <c r="F14" s="16">
        <f t="shared" si="1"/>
        <v>46112</v>
      </c>
      <c r="G14" s="21">
        <f>'March 2026'!D53</f>
        <v>9.3130900000000008</v>
      </c>
      <c r="H14" s="3">
        <f t="shared" si="0"/>
        <v>9.3131000000000004</v>
      </c>
      <c r="I14" s="28"/>
    </row>
    <row r="15" spans="1:12" x14ac:dyDescent="0.25">
      <c r="A15" s="14">
        <v>1002</v>
      </c>
      <c r="B15" s="3" t="s">
        <v>17</v>
      </c>
      <c r="C15" s="3" t="s">
        <v>3</v>
      </c>
      <c r="D15" s="3" t="s">
        <v>18</v>
      </c>
      <c r="E15" s="15">
        <v>4.2361111111111106E-2</v>
      </c>
      <c r="F15" s="16">
        <f t="shared" si="1"/>
        <v>46112</v>
      </c>
      <c r="G15" s="21">
        <f>'March 2026'!D54</f>
        <v>1.2796099999999999</v>
      </c>
      <c r="H15" s="3">
        <f t="shared" si="0"/>
        <v>1.2796000000000001</v>
      </c>
      <c r="I15" s="28"/>
    </row>
    <row r="16" spans="1:12" x14ac:dyDescent="0.25">
      <c r="A16" s="14">
        <v>1002</v>
      </c>
      <c r="B16" s="3" t="s">
        <v>32</v>
      </c>
      <c r="C16" s="3" t="s">
        <v>3</v>
      </c>
      <c r="D16" s="3" t="s">
        <v>33</v>
      </c>
      <c r="E16" s="15">
        <v>4.2361111111111106E-2</v>
      </c>
      <c r="F16" s="16">
        <f t="shared" si="1"/>
        <v>46112</v>
      </c>
      <c r="G16" s="21">
        <f>'March 2026'!D55</f>
        <v>16.742000000000001</v>
      </c>
      <c r="H16" s="3">
        <f t="shared" si="0"/>
        <v>16.742000000000001</v>
      </c>
      <c r="I16" s="28"/>
    </row>
    <row r="17" spans="1:9" x14ac:dyDescent="0.25">
      <c r="A17" s="17" t="s">
        <v>19</v>
      </c>
      <c r="B17" s="10" t="s">
        <v>39</v>
      </c>
      <c r="C17" s="10" t="s">
        <v>3</v>
      </c>
      <c r="D17" s="10" t="s">
        <v>40</v>
      </c>
      <c r="E17" s="18">
        <v>4.2361111111111106E-2</v>
      </c>
      <c r="F17" s="13">
        <f t="shared" si="1"/>
        <v>46112</v>
      </c>
      <c r="G17" s="21">
        <f>'March 2026'!F41</f>
        <v>3.6724299999999999</v>
      </c>
      <c r="H17" s="21">
        <f>ROUND(G17,4)</f>
        <v>3.6724000000000001</v>
      </c>
      <c r="I17" s="27" t="s">
        <v>26</v>
      </c>
    </row>
    <row r="18" spans="1:9" x14ac:dyDescent="0.25">
      <c r="A18" s="17" t="s">
        <v>19</v>
      </c>
      <c r="B18" s="10" t="s">
        <v>2</v>
      </c>
      <c r="C18" s="10" t="s">
        <v>3</v>
      </c>
      <c r="D18" s="10" t="s">
        <v>4</v>
      </c>
      <c r="E18" s="18">
        <v>4.2361111111111106E-2</v>
      </c>
      <c r="F18" s="13">
        <f t="shared" si="1"/>
        <v>46112</v>
      </c>
      <c r="G18" s="21">
        <f>'March 2026'!F42</f>
        <v>1.45513</v>
      </c>
      <c r="H18">
        <f t="shared" ref="H18:H31" si="2">ROUND(G18,4)</f>
        <v>1.4551000000000001</v>
      </c>
      <c r="I18" s="27"/>
    </row>
    <row r="19" spans="1:9" x14ac:dyDescent="0.25">
      <c r="A19" s="17" t="s">
        <v>19</v>
      </c>
      <c r="B19" s="10" t="s">
        <v>5</v>
      </c>
      <c r="C19" s="10" t="s">
        <v>3</v>
      </c>
      <c r="D19" s="10" t="s">
        <v>6</v>
      </c>
      <c r="E19" s="18">
        <v>4.2361111111111106E-2</v>
      </c>
      <c r="F19" s="13">
        <f t="shared" si="1"/>
        <v>46112</v>
      </c>
      <c r="G19" s="21">
        <f>'March 2026'!F43</f>
        <v>1.39306</v>
      </c>
      <c r="H19">
        <f t="shared" si="2"/>
        <v>1.3931</v>
      </c>
      <c r="I19" s="27"/>
    </row>
    <row r="20" spans="1:9" x14ac:dyDescent="0.25">
      <c r="A20" s="17" t="s">
        <v>19</v>
      </c>
      <c r="B20" s="10" t="s">
        <v>7</v>
      </c>
      <c r="C20" s="10" t="s">
        <v>3</v>
      </c>
      <c r="D20" s="10" t="s">
        <v>8</v>
      </c>
      <c r="E20" s="18">
        <v>4.2361111111111106E-2</v>
      </c>
      <c r="F20" s="13">
        <f t="shared" si="1"/>
        <v>46112</v>
      </c>
      <c r="G20" s="21">
        <f>'March 2026'!F44</f>
        <v>0.79972100000000002</v>
      </c>
      <c r="H20">
        <f t="shared" si="2"/>
        <v>0.79969999999999997</v>
      </c>
      <c r="I20" s="27"/>
    </row>
    <row r="21" spans="1:9" x14ac:dyDescent="0.25">
      <c r="A21" s="17" t="s">
        <v>19</v>
      </c>
      <c r="B21" s="10" t="s">
        <v>20</v>
      </c>
      <c r="C21" s="10" t="s">
        <v>3</v>
      </c>
      <c r="D21" s="10" t="s">
        <v>21</v>
      </c>
      <c r="E21" s="18">
        <v>4.2361111111111106E-2</v>
      </c>
      <c r="F21" s="13">
        <f t="shared" si="1"/>
        <v>46112</v>
      </c>
      <c r="G21" s="21">
        <f>'March 2026'!F45</f>
        <v>6.49343</v>
      </c>
      <c r="H21">
        <f t="shared" si="2"/>
        <v>6.4934000000000003</v>
      </c>
      <c r="I21" s="27"/>
    </row>
    <row r="22" spans="1:9" x14ac:dyDescent="0.25">
      <c r="A22" s="17" t="s">
        <v>19</v>
      </c>
      <c r="B22" s="10" t="s">
        <v>9</v>
      </c>
      <c r="C22" s="10" t="s">
        <v>3</v>
      </c>
      <c r="D22" s="10" t="s">
        <v>10</v>
      </c>
      <c r="E22" s="18">
        <v>4.2361111111111106E-2</v>
      </c>
      <c r="F22" s="13">
        <f t="shared" si="1"/>
        <v>46112</v>
      </c>
      <c r="G22" s="21">
        <f>'March 2026'!F46</f>
        <v>0.86916300000000002</v>
      </c>
      <c r="H22">
        <f t="shared" si="2"/>
        <v>0.86919999999999997</v>
      </c>
      <c r="I22" s="27"/>
    </row>
    <row r="23" spans="1:9" x14ac:dyDescent="0.25">
      <c r="A23" s="17" t="s">
        <v>19</v>
      </c>
      <c r="B23" s="10" t="s">
        <v>11</v>
      </c>
      <c r="C23" s="10" t="s">
        <v>3</v>
      </c>
      <c r="D23" s="10" t="s">
        <v>12</v>
      </c>
      <c r="E23" s="18">
        <v>4.2361111111111106E-2</v>
      </c>
      <c r="F23" s="13">
        <f t="shared" si="1"/>
        <v>46112</v>
      </c>
      <c r="G23" s="21">
        <f>'March 2026'!F47</f>
        <v>0.75654999999999994</v>
      </c>
      <c r="H23">
        <f t="shared" si="2"/>
        <v>0.75660000000000005</v>
      </c>
      <c r="I23" s="27"/>
    </row>
    <row r="24" spans="1:9" x14ac:dyDescent="0.25">
      <c r="A24" s="17" t="s">
        <v>19</v>
      </c>
      <c r="B24" s="10" t="s">
        <v>34</v>
      </c>
      <c r="C24" s="10" t="s">
        <v>3</v>
      </c>
      <c r="D24" s="10" t="s">
        <v>35</v>
      </c>
      <c r="E24" s="18">
        <v>4.2361111111111106E-2</v>
      </c>
      <c r="F24" s="13">
        <f t="shared" si="1"/>
        <v>46112</v>
      </c>
      <c r="G24" s="21">
        <f>'March 2026'!F48</f>
        <v>334.96800000000002</v>
      </c>
      <c r="H24">
        <f t="shared" si="2"/>
        <v>334.96800000000002</v>
      </c>
      <c r="I24" s="27"/>
    </row>
    <row r="25" spans="1:9" x14ac:dyDescent="0.25">
      <c r="A25" s="17" t="s">
        <v>19</v>
      </c>
      <c r="B25" s="10" t="s">
        <v>13</v>
      </c>
      <c r="C25" s="10" t="s">
        <v>3</v>
      </c>
      <c r="D25" s="10" t="s">
        <v>14</v>
      </c>
      <c r="E25" s="18">
        <v>4.2361111111111106E-2</v>
      </c>
      <c r="F25" s="13">
        <f t="shared" si="1"/>
        <v>46112</v>
      </c>
      <c r="G25" s="21">
        <f>'March 2026'!F49</f>
        <v>159.304</v>
      </c>
      <c r="H25">
        <f t="shared" si="2"/>
        <v>159.304</v>
      </c>
      <c r="I25" s="27"/>
    </row>
    <row r="26" spans="1:9" x14ac:dyDescent="0.25">
      <c r="A26" s="17" t="s">
        <v>19</v>
      </c>
      <c r="B26" s="10" t="s">
        <v>22</v>
      </c>
      <c r="C26" s="10" t="s">
        <v>3</v>
      </c>
      <c r="D26" s="10" t="s">
        <v>25</v>
      </c>
      <c r="E26" s="18">
        <v>4.2361111111111106E-2</v>
      </c>
      <c r="F26" s="13">
        <f t="shared" si="1"/>
        <v>46112</v>
      </c>
      <c r="G26" s="21">
        <f>'March 2026'!F50</f>
        <v>9.7351700000000001</v>
      </c>
      <c r="H26">
        <f t="shared" si="2"/>
        <v>9.7352000000000007</v>
      </c>
      <c r="I26" s="27"/>
    </row>
    <row r="27" spans="1:9" x14ac:dyDescent="0.25">
      <c r="A27" s="19" t="s">
        <v>19</v>
      </c>
      <c r="B27" s="4" t="s">
        <v>15</v>
      </c>
      <c r="C27" s="4" t="s">
        <v>3</v>
      </c>
      <c r="D27" s="4" t="s">
        <v>16</v>
      </c>
      <c r="E27" s="20">
        <v>4.2361111111111106E-2</v>
      </c>
      <c r="F27" s="16">
        <f t="shared" si="1"/>
        <v>46112</v>
      </c>
      <c r="G27" s="21">
        <f>'March 2026'!F51</f>
        <v>1.7466699999999999</v>
      </c>
      <c r="H27" s="3">
        <f t="shared" si="2"/>
        <v>1.7466999999999999</v>
      </c>
      <c r="I27" s="27"/>
    </row>
    <row r="28" spans="1:9" x14ac:dyDescent="0.25">
      <c r="A28" s="19" t="s">
        <v>19</v>
      </c>
      <c r="B28" s="4" t="s">
        <v>36</v>
      </c>
      <c r="C28" s="4" t="s">
        <v>3</v>
      </c>
      <c r="D28" s="4" t="s">
        <v>37</v>
      </c>
      <c r="E28" s="20">
        <v>4.2361111111111106E-2</v>
      </c>
      <c r="F28" s="16">
        <f t="shared" si="1"/>
        <v>46112</v>
      </c>
      <c r="G28" s="21">
        <f>'March 2026'!F52</f>
        <v>81.312200000000004</v>
      </c>
      <c r="H28" s="3">
        <f t="shared" si="2"/>
        <v>81.312200000000004</v>
      </c>
      <c r="I28" s="27"/>
    </row>
    <row r="29" spans="1:9" x14ac:dyDescent="0.25">
      <c r="A29" s="19" t="s">
        <v>19</v>
      </c>
      <c r="B29" s="4" t="s">
        <v>23</v>
      </c>
      <c r="C29" s="4" t="s">
        <v>3</v>
      </c>
      <c r="D29" s="4" t="s">
        <v>24</v>
      </c>
      <c r="E29" s="20">
        <v>4.2361111111111106E-2</v>
      </c>
      <c r="F29" s="16">
        <f t="shared" si="1"/>
        <v>46112</v>
      </c>
      <c r="G29" s="21">
        <f>'March 2026'!F53</f>
        <v>9.5179200000000002</v>
      </c>
      <c r="H29" s="3">
        <f t="shared" si="2"/>
        <v>9.5178999999999991</v>
      </c>
      <c r="I29" s="27"/>
    </row>
    <row r="30" spans="1:9" x14ac:dyDescent="0.25">
      <c r="A30" s="19" t="s">
        <v>19</v>
      </c>
      <c r="B30" s="4" t="s">
        <v>17</v>
      </c>
      <c r="C30" s="4" t="s">
        <v>3</v>
      </c>
      <c r="D30" s="4" t="s">
        <v>18</v>
      </c>
      <c r="E30" s="20">
        <v>4.2361111111111106E-2</v>
      </c>
      <c r="F30" s="16">
        <f t="shared" si="1"/>
        <v>46112</v>
      </c>
      <c r="G30" s="21">
        <f>'March 2026'!F54</f>
        <v>1.28884</v>
      </c>
      <c r="H30" s="3">
        <f t="shared" si="2"/>
        <v>1.2887999999999999</v>
      </c>
      <c r="I30" s="27"/>
    </row>
    <row r="31" spans="1:9" x14ac:dyDescent="0.25">
      <c r="A31" s="19" t="s">
        <v>19</v>
      </c>
      <c r="B31" s="4" t="s">
        <v>32</v>
      </c>
      <c r="C31" s="4" t="s">
        <v>3</v>
      </c>
      <c r="D31" s="4" t="s">
        <v>33</v>
      </c>
      <c r="E31" s="20">
        <v>4.2361111111111106E-2</v>
      </c>
      <c r="F31" s="16">
        <f t="shared" si="1"/>
        <v>46112</v>
      </c>
      <c r="G31" s="21">
        <f>'March 2026'!F55</f>
        <v>17.05</v>
      </c>
      <c r="H31" s="3">
        <f t="shared" si="2"/>
        <v>17.05</v>
      </c>
      <c r="I31" s="27"/>
    </row>
    <row r="32" spans="1:9" x14ac:dyDescent="0.25">
      <c r="F32" s="21"/>
      <c r="G32" s="21"/>
    </row>
    <row r="33" spans="2:7" x14ac:dyDescent="0.25">
      <c r="B33" s="5" t="s">
        <v>39</v>
      </c>
      <c r="F33" s="21"/>
      <c r="G33" s="21"/>
    </row>
    <row r="34" spans="2:7" x14ac:dyDescent="0.25">
      <c r="B34" s="5" t="s">
        <v>2</v>
      </c>
      <c r="F34" s="21"/>
      <c r="G34" s="21"/>
    </row>
    <row r="35" spans="2:7" x14ac:dyDescent="0.25">
      <c r="B35" s="5" t="s">
        <v>5</v>
      </c>
      <c r="F35" s="21"/>
      <c r="G35" s="21"/>
    </row>
    <row r="36" spans="2:7" x14ac:dyDescent="0.25">
      <c r="B36" s="5" t="s">
        <v>7</v>
      </c>
    </row>
    <row r="37" spans="2:7" x14ac:dyDescent="0.25">
      <c r="B37" s="5" t="s">
        <v>20</v>
      </c>
    </row>
    <row r="38" spans="2:7" x14ac:dyDescent="0.25">
      <c r="B38" s="5" t="s">
        <v>9</v>
      </c>
    </row>
    <row r="39" spans="2:7" x14ac:dyDescent="0.25">
      <c r="B39" s="5" t="s">
        <v>11</v>
      </c>
    </row>
    <row r="40" spans="2:7" x14ac:dyDescent="0.25">
      <c r="B40" s="5" t="s">
        <v>42</v>
      </c>
    </row>
    <row r="41" spans="2:7" x14ac:dyDescent="0.25">
      <c r="B41" s="5" t="s">
        <v>34</v>
      </c>
    </row>
    <row r="42" spans="2:7" x14ac:dyDescent="0.25">
      <c r="B42" s="5" t="s">
        <v>43</v>
      </c>
    </row>
    <row r="43" spans="2:7" x14ac:dyDescent="0.25">
      <c r="B43" s="5" t="s">
        <v>13</v>
      </c>
    </row>
    <row r="44" spans="2:7" x14ac:dyDescent="0.25">
      <c r="B44" s="5" t="s">
        <v>44</v>
      </c>
    </row>
    <row r="45" spans="2:7" x14ac:dyDescent="0.25">
      <c r="B45" s="5" t="s">
        <v>45</v>
      </c>
    </row>
    <row r="46" spans="2:7" x14ac:dyDescent="0.25">
      <c r="B46" s="5" t="s">
        <v>22</v>
      </c>
    </row>
    <row r="47" spans="2:7" x14ac:dyDescent="0.25">
      <c r="B47" s="5" t="s">
        <v>15</v>
      </c>
    </row>
    <row r="48" spans="2:7" x14ac:dyDescent="0.25">
      <c r="B48" s="5" t="s">
        <v>36</v>
      </c>
    </row>
    <row r="49" spans="2:2" x14ac:dyDescent="0.25">
      <c r="B49" s="5" t="s">
        <v>23</v>
      </c>
    </row>
    <row r="50" spans="2:2" x14ac:dyDescent="0.25">
      <c r="B50" s="5" t="s">
        <v>17</v>
      </c>
    </row>
    <row r="51" spans="2:2" x14ac:dyDescent="0.25">
      <c r="B51" s="5" t="s">
        <v>32</v>
      </c>
    </row>
  </sheetData>
  <mergeCells count="2">
    <mergeCell ref="I17:I31"/>
    <mergeCell ref="I2:I16"/>
  </mergeCells>
  <printOptions heading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B2" sqref="B2:L2"/>
    </sheetView>
  </sheetViews>
  <sheetFormatPr defaultRowHeight="15" x14ac:dyDescent="0.25"/>
  <cols>
    <col min="1" max="1" width="12" customWidth="1"/>
    <col min="2" max="2" width="13.28515625" bestFit="1" customWidth="1"/>
    <col min="3" max="3" width="10.140625" bestFit="1" customWidth="1"/>
    <col min="4" max="4" width="12" bestFit="1" customWidth="1"/>
  </cols>
  <sheetData>
    <row r="1" spans="1:12" x14ac:dyDescent="0.25">
      <c r="A1" s="6" t="s">
        <v>27</v>
      </c>
      <c r="B1" s="2" t="s">
        <v>2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20</v>
      </c>
      <c r="K1" s="2" t="s">
        <v>23</v>
      </c>
      <c r="L1" s="2" t="s">
        <v>22</v>
      </c>
    </row>
    <row r="2" spans="1:12" x14ac:dyDescent="0.25">
      <c r="A2" s="7">
        <f>Summary!F3</f>
        <v>46112</v>
      </c>
      <c r="B2">
        <f>1/Summary!$G18</f>
        <v>0.68722382192656328</v>
      </c>
      <c r="C2">
        <f>1/Summary!$G19</f>
        <v>0.71784417038749226</v>
      </c>
      <c r="D2">
        <f>1/Summary!$G20</f>
        <v>1.2504360895862432</v>
      </c>
      <c r="E2">
        <f>1/Summary!$G22</f>
        <v>1.1505321786592388</v>
      </c>
      <c r="F2">
        <f>1/Summary!$G23</f>
        <v>1.3217897032582118</v>
      </c>
      <c r="G2">
        <f>1/Summary!$G25</f>
        <v>6.2773062823281269E-3</v>
      </c>
      <c r="H2">
        <f>1/Summary!$G27</f>
        <v>0.57251799137787907</v>
      </c>
      <c r="I2">
        <f>1/Summary!$G30</f>
        <v>0.77589149933273327</v>
      </c>
      <c r="J2">
        <f>1/Summary!$G21</f>
        <v>0.1540018141413706</v>
      </c>
      <c r="K2">
        <f>1/Summary!$G29</f>
        <v>0.10506497217879536</v>
      </c>
      <c r="L2">
        <f>1/Summary!$G26</f>
        <v>0.10272034283941626</v>
      </c>
    </row>
    <row r="4" spans="1:12" x14ac:dyDescent="0.25">
      <c r="A4" t="s">
        <v>29</v>
      </c>
      <c r="C4" s="8"/>
    </row>
    <row r="5" spans="1:12" x14ac:dyDescent="0.25">
      <c r="A5" t="s">
        <v>28</v>
      </c>
    </row>
    <row r="6" spans="1:12" x14ac:dyDescent="0.25">
      <c r="A6" s="11" t="s">
        <v>38</v>
      </c>
      <c r="B6" t="s">
        <v>31</v>
      </c>
      <c r="C6" t="s">
        <v>30</v>
      </c>
      <c r="D6" t="s">
        <v>3</v>
      </c>
    </row>
    <row r="7" spans="1:12" x14ac:dyDescent="0.25">
      <c r="B7" s="8">
        <v>1000</v>
      </c>
      <c r="C7" s="8" t="s">
        <v>2</v>
      </c>
      <c r="D7" s="8">
        <f>B7*B2</f>
        <v>687.22382192656323</v>
      </c>
    </row>
    <row r="8" spans="1:12" x14ac:dyDescent="0.25">
      <c r="B8" s="8">
        <v>1000</v>
      </c>
      <c r="C8" s="8" t="s">
        <v>5</v>
      </c>
      <c r="D8" s="8">
        <f>B8*C2</f>
        <v>717.84417038749223</v>
      </c>
    </row>
    <row r="9" spans="1:12" x14ac:dyDescent="0.25">
      <c r="B9" s="8">
        <v>1000000</v>
      </c>
      <c r="C9" s="8" t="s">
        <v>13</v>
      </c>
      <c r="D9" s="9">
        <f>B9*G2</f>
        <v>6277.3062823281271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 2026</vt:lpstr>
      <vt:lpstr>Summary</vt:lpstr>
      <vt:lpstr>Sherry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Annie</dc:creator>
  <cp:lastModifiedBy>Ulrich, Matthew</cp:lastModifiedBy>
  <cp:lastPrinted>2016-02-01T17:51:00Z</cp:lastPrinted>
  <dcterms:created xsi:type="dcterms:W3CDTF">2011-09-01T16:51:09Z</dcterms:created>
  <dcterms:modified xsi:type="dcterms:W3CDTF">2026-04-15T21:18:54Z</dcterms:modified>
</cp:coreProperties>
</file>